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robrasbr-my.sharepoint.com/personal/suzanaleal_petrobras_com_br/Documents/Desktop/Pessoal/Pós Graduação/Projeto Final/Arquivos para salvar no Classroom/"/>
    </mc:Choice>
  </mc:AlternateContent>
  <xr:revisionPtr revIDLastSave="47" documentId="8_{93A78C8E-026B-40E3-8B1E-D0C81AE79133}" xr6:coauthVersionLast="47" xr6:coauthVersionMax="47" xr10:uidLastSave="{44BCC06D-F6A2-40C0-AB3F-7063C78DADE1}"/>
  <bookViews>
    <workbookView xWindow="-108" yWindow="-108" windowWidth="23256" windowHeight="12456" xr2:uid="{00000000-000D-0000-FFFF-FFFF00000000}"/>
  </bookViews>
  <sheets>
    <sheet name="default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5" i="1"/>
  <c r="G4" i="1"/>
  <c r="G3" i="1"/>
  <c r="F6" i="1"/>
  <c r="F5" i="1"/>
  <c r="F4" i="1"/>
  <c r="F3" i="1"/>
  <c r="E6" i="1"/>
  <c r="D6" i="1"/>
  <c r="E5" i="1"/>
  <c r="D5" i="1"/>
</calcChain>
</file>

<file path=xl/sharedStrings.xml><?xml version="1.0" encoding="utf-8"?>
<sst xmlns="http://schemas.openxmlformats.org/spreadsheetml/2006/main" count="12" uniqueCount="10">
  <si>
    <t>MERIN_Registro Capitalizado</t>
  </si>
  <si>
    <t>Análise</t>
  </si>
  <si>
    <t>09</t>
  </si>
  <si>
    <t>ok - Valor que está na MERIN foi contabilizado no AA</t>
  </si>
  <si>
    <t>verificar</t>
  </si>
  <si>
    <t>Total</t>
  </si>
  <si>
    <t>PIS_Ajustado</t>
  </si>
  <si>
    <t>COFINS_Ajustado</t>
  </si>
  <si>
    <t>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</si>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</sst>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43" fontId="0" fillId="0" borderId="0" xfId="1" applyFont="1"/>
    <xf numFmtId="0" fontId="2" fillId="0" borderId="1" xfId="0" applyFont="1" applyBorder="1"/>
    <xf numFmtId="0" fontId="2" fillId="0" borderId="2" xfId="0" applyFont="1" applyBorder="1"/>
    <xf numFmtId="43" fontId="2" fillId="0" borderId="2" xfId="1" applyFont="1" applyBorder="1"/>
    <xf numFmtId="43" fontId="2" fillId="0" borderId="3" xfId="1" applyFont="1" applyBorder="1"/>
    <xf numFmtId="0" fontId="0" fillId="0" borderId="4" xfId="0" applyBorder="1"/>
    <xf numFmtId="43" fontId="0" fillId="0" borderId="0" xfId="1" applyFont="1" applyBorder="1"/>
    <xf numFmtId="43" fontId="0" fillId="0" borderId="5" xfId="1" applyFont="1" applyBorder="1"/>
    <xf numFmtId="0" fontId="2" fillId="0" borderId="6" xfId="0" applyFont="1" applyBorder="1"/>
    <xf numFmtId="0" fontId="2" fillId="0" borderId="7" xfId="0" applyFont="1" applyBorder="1"/>
    <xf numFmtId="43" fontId="2" fillId="0" borderId="7" xfId="1" applyFont="1" applyBorder="1"/>
    <xf numFmtId="43" fontId="2" fillId="0" borderId="8" xfId="1" applyFont="1" applyBorder="1"/>
    <xf numFmtId="9" fontId="2" fillId="0" borderId="7" xfId="2" applyFont="1" applyBorder="1"/>
    <xf numFmtId="9" fontId="2" fillId="0" borderId="8" xfId="2" applyFont="1" applyBorder="1"/>
    <xf numFmtId="9" fontId="0" fillId="0" borderId="5" xfId="2" applyFont="1" applyBorder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6"/>
  <sheetViews>
    <sheetView showGridLines="0" tabSelected="1" workbookViewId="0">
      <selection activeCell="I22" sqref="I21:I22"/>
    </sheetView>
  </sheetViews>
  <sheetFormatPr defaultRowHeight="14.4" x14ac:dyDescent="0.3"/>
  <cols>
    <col min="1" max="1" width="16.44140625" customWidth="1"/>
    <col min="2" max="2" width="24" customWidth="1"/>
    <col min="3" max="3" width="17.5546875" style="1" bestFit="1" customWidth="1"/>
    <col min="4" max="4" width="15.109375" style="1" bestFit="1" customWidth="1"/>
    <col min="5" max="5" width="17.21875" bestFit="1" customWidth="1"/>
    <col min="6" max="7" width="11.44140625" bestFit="1" customWidth="1"/>
  </cols>
  <sheetData>
    <row r="1" spans="2:7" ht="15" thickBot="1" x14ac:dyDescent="0.35"/>
    <row r="2" spans="2:7" x14ac:dyDescent="0.3">
      <c r="B2" s="2" t="s">
        <v>0</v>
      </c>
      <c r="C2" s="3" t="s">
        <v>1</v>
      </c>
      <c r="D2" s="4" t="s">
        <v>6</v>
      </c>
      <c r="E2" s="5" t="s">
        <v>7</v>
      </c>
      <c r="F2" s="5" t="s">
        <v>9</v>
      </c>
      <c r="G2" s="5" t="s">
        <v>8</v>
      </c>
    </row>
    <row r="3" spans="2:7" x14ac:dyDescent="0.3">
      <c r="B3" s="6" t="s">
        <v>2</v>
      </c>
      <c r="C3" t="s">
        <v>3</v>
      </c>
      <c r="D3" s="7">
        <v>97357.541722473659</v>
      </c>
      <c r="E3" s="8">
        <v>448267.62042200728</v>
      </c>
      <c r="F3" s="8">
        <f>SUM(D3:E3)</f>
        <v>545625.16214448097</v>
      </c>
      <c r="G3" s="15">
        <f>F3/F$5</f>
        <v>0.94457427931281357</v>
      </c>
    </row>
    <row r="4" spans="2:7" x14ac:dyDescent="0.3">
      <c r="B4" s="6" t="s">
        <v>2</v>
      </c>
      <c r="C4" t="s">
        <v>4</v>
      </c>
      <c r="D4" s="7">
        <v>5681.185625236154</v>
      </c>
      <c r="E4" s="8">
        <v>26335.002512897234</v>
      </c>
      <c r="F4" s="8">
        <f>SUM(D4:E4)</f>
        <v>32016.188138133388</v>
      </c>
      <c r="G4" s="15">
        <f t="shared" ref="G4:G5" si="0">F4/F$5</f>
        <v>5.542572068718641E-2</v>
      </c>
    </row>
    <row r="5" spans="2:7" ht="15" thickBot="1" x14ac:dyDescent="0.35">
      <c r="B5" s="9" t="s">
        <v>5</v>
      </c>
      <c r="C5" s="10"/>
      <c r="D5" s="11">
        <f>SUM(D3:D4)</f>
        <v>103038.72734770982</v>
      </c>
      <c r="E5" s="12">
        <f>SUM(E3:E4)</f>
        <v>474602.62293490453</v>
      </c>
      <c r="F5" s="12">
        <f>SUM(D5:E5)</f>
        <v>577641.35028261435</v>
      </c>
      <c r="G5" s="14">
        <f t="shared" si="0"/>
        <v>1</v>
      </c>
    </row>
    <row r="6" spans="2:7" ht="15" thickBot="1" x14ac:dyDescent="0.35">
      <c r="B6" s="9" t="s">
        <v>8</v>
      </c>
      <c r="C6" s="10"/>
      <c r="D6" s="13">
        <f>D4/D5</f>
        <v>5.5136411051202934E-2</v>
      </c>
      <c r="E6" s="14">
        <f>E4/E5</f>
        <v>5.5488531331840715E-2</v>
      </c>
      <c r="F6" s="14">
        <f>F4/F5</f>
        <v>5.542572068718641E-2</v>
      </c>
      <c r="G6" s="14">
        <f>F6/F$5</f>
        <v>9.5951788527724088E-8</v>
      </c>
    </row>
  </sheetData>
  <pageMargins left="0.7" right="0.7" top="0.75" bottom="0.75" header="0.3" footer="0.3"/>
  <pageSetup paperSize="9" orientation="portrait"/>
  <headerFooter>
    <oddFooter>&amp;L_x000D_&amp;1#&amp;"Trebuchet MS"&amp;9&amp;K737373 PÚBLICA</oddFooter>
  </headerFooter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default_1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Suzana Maria Leal de Jesus</dc:creator>
  <cp:lastModifiedBy>Suzana Maria Leal de Jesus</cp:lastModifiedBy>
  <dcterms:created xsi:type="dcterms:W3CDTF">2026-08-08T20:35:42Z</dcterms:created>
  <dcterms:modified xsi:type="dcterms:W3CDTF">2026-10-22T18:14:43Z</dcterms:modified>
</cp:coreProperties>
</file>